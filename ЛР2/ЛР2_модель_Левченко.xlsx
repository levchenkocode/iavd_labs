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samykon/Downloads/AyuGram Desktop/ЛР2_Левченко/"/>
    </mc:Choice>
  </mc:AlternateContent>
  <xr:revisionPtr revIDLastSave="0" documentId="13_ncr:1_{231A873B-5E79-0247-A93D-0373C56F6D64}" xr6:coauthVersionLast="47" xr6:coauthVersionMax="47" xr10:uidLastSave="{00000000-0000-0000-0000-000000000000}"/>
  <bookViews>
    <workbookView xWindow="4760" yWindow="2520" windowWidth="21600" windowHeight="11880" xr2:uid="{00000000-000D-0000-FFFF-FFFF00000000}"/>
  </bookViews>
  <sheets>
    <sheet name="Отчет об устойчивости 2" sheetId="4" r:id="rId1"/>
    <sheet name="Модель" sheetId="1" r:id="rId2"/>
    <sheet name="Отчет об устойчивости 1" sheetId="3" r:id="rId3"/>
    <sheet name="Налаштування Solver" sheetId="2" r:id="rId4"/>
  </sheets>
  <definedNames>
    <definedName name="solver_adj" localSheetId="1" hidden="1">Модель!$B$6:$E$6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ng" localSheetId="2" hidden="1">1</definedName>
    <definedName name="solver_est" localSheetId="1" hidden="1">1</definedName>
    <definedName name="solver_itr" localSheetId="1" hidden="1">2147483647</definedName>
    <definedName name="solver_lhs1" localSheetId="1" hidden="1">Модель!$F$10:$F$14</definedName>
    <definedName name="solver_lin" localSheetId="1" hidden="1">1</definedName>
    <definedName name="solver_lin" localSheetId="2" hidden="1">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um" localSheetId="1" hidden="1">1</definedName>
    <definedName name="solver_num" localSheetId="2" hidden="1">0</definedName>
    <definedName name="solver_nwt" localSheetId="1" hidden="1">1</definedName>
    <definedName name="solver_opt" localSheetId="1" hidden="1">Модель!$F$7</definedName>
    <definedName name="solver_opt" localSheetId="2" hidden="1">'Отчет об устойчивости 1'!$J$1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hs1" localSheetId="1" hidden="1">Модель!$H$10:$H$14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typ" localSheetId="2" hidden="1">1</definedName>
    <definedName name="solver_val" localSheetId="1" hidden="1">0</definedName>
    <definedName name="solver_val" localSheetId="2" hidden="1">0</definedName>
    <definedName name="solver_ver" localSheetId="1" hidden="1">2</definedName>
    <definedName name="solver_ver" localSheetId="2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I14" i="1" s="1"/>
  <c r="F13" i="1"/>
  <c r="I13" i="1" s="1"/>
  <c r="F12" i="1"/>
  <c r="I12" i="1" s="1"/>
  <c r="F11" i="1"/>
  <c r="I11" i="1" s="1"/>
  <c r="F10" i="1"/>
  <c r="I10" i="1" s="1"/>
  <c r="F7" i="1"/>
</calcChain>
</file>

<file path=xl/sharedStrings.xml><?xml version="1.0" encoding="utf-8"?>
<sst xmlns="http://schemas.openxmlformats.org/spreadsheetml/2006/main" count="139" uniqueCount="72">
  <si>
    <t>«Друк-Сервіс» — виробнича задача, варіант 4</t>
  </si>
  <si>
    <t>Левченко Денис, ШІ-33. Одиниця плану: тис. прим./тиждень</t>
  </si>
  <si>
    <t>Показник</t>
  </si>
  <si>
    <t>Буклет</t>
  </si>
  <si>
    <t>Каталог</t>
  </si>
  <si>
    <t>Календар</t>
  </si>
  <si>
    <t>Плакат</t>
  </si>
  <si>
    <t>Разом</t>
  </si>
  <si>
    <t>Прибуток з одиниці</t>
  </si>
  <si>
    <t>ВИПУСК (змінні рішення)</t>
  </si>
  <si>
    <t>ПРИБУТОК (цільова функція)</t>
  </si>
  <si>
    <t>Ресурс</t>
  </si>
  <si>
    <t>Витрачено</t>
  </si>
  <si>
    <t>Запас</t>
  </si>
  <si>
    <t>Залишок</t>
  </si>
  <si>
    <t>Крейдований папір, кг</t>
  </si>
  <si>
    <t>&lt;=</t>
  </si>
  <si>
    <t>Офсетний папір, кг</t>
  </si>
  <si>
    <t>Фарба, кг</t>
  </si>
  <si>
    <t>Друкарська машина, год</t>
  </si>
  <si>
    <t>Різка й фальцювання, год</t>
  </si>
  <si>
    <t>Пропозиція постачальника (етап 6)</t>
  </si>
  <si>
    <t>Ціна за одиницю</t>
  </si>
  <si>
    <t>Доступний обсяг</t>
  </si>
  <si>
    <t>Параметри Пошуку рішення</t>
  </si>
  <si>
    <t>Оптимізувати цільову функцію:   $F$7</t>
  </si>
  <si>
    <t>До:                              Максимум</t>
  </si>
  <si>
    <t>Змінюючи клітинки змінних:       $B$6:$E$6</t>
  </si>
  <si>
    <t>Обмеження:                       $F$10:$F$14 &lt;= $H$10:$H$14</t>
  </si>
  <si>
    <t>Невід’ємність:                   галочка «Сделать переменные без ограничений неотрицательными»</t>
  </si>
  <si>
    <t>Метод розв’язання:               Симплекс-метод для лінійних задач</t>
  </si>
  <si>
    <t>Microsoft Excel 16.111 Отчет об устойчивости</t>
  </si>
  <si>
    <t>Лист: [ЛР2_модель_Левченко.xlsx]Модель</t>
  </si>
  <si>
    <t>Отчет создан: 28.09.2026 13:30:28</t>
  </si>
  <si>
    <t>Ячейки переменных</t>
  </si>
  <si>
    <t>Ячейка</t>
  </si>
  <si>
    <t>Имя</t>
  </si>
  <si>
    <t>Окончательное</t>
  </si>
  <si>
    <t>Значение</t>
  </si>
  <si>
    <t>Приведенн.</t>
  </si>
  <si>
    <t>Стоимость</t>
  </si>
  <si>
    <t>Целевая функция</t>
  </si>
  <si>
    <t>Коэффициент</t>
  </si>
  <si>
    <t>Допустимое</t>
  </si>
  <si>
    <t>Увеличение</t>
  </si>
  <si>
    <t>Уменьшение</t>
  </si>
  <si>
    <t>Ограничения</t>
  </si>
  <si>
    <t>Тень</t>
  </si>
  <si>
    <t>Цена</t>
  </si>
  <si>
    <t>Ограничение</t>
  </si>
  <si>
    <t>Правая сторона</t>
  </si>
  <si>
    <t>$B$6</t>
  </si>
  <si>
    <t>ВИПУСК (змінні рішення) Буклет</t>
  </si>
  <si>
    <t>$C$6</t>
  </si>
  <si>
    <t>ВИПУСК (змінні рішення) Каталог</t>
  </si>
  <si>
    <t>$D$6</t>
  </si>
  <si>
    <t>ВИПУСК (змінні рішення) Календар</t>
  </si>
  <si>
    <t>$E$6</t>
  </si>
  <si>
    <t>ВИПУСК (змінні рішення) Плакат</t>
  </si>
  <si>
    <t>$F$10</t>
  </si>
  <si>
    <t>Крейдований папір, кг Витрачено</t>
  </si>
  <si>
    <t>$F$11</t>
  </si>
  <si>
    <t>Офсетний папір, кг Витрачено</t>
  </si>
  <si>
    <t>$F$12</t>
  </si>
  <si>
    <t>Фарба, кг Витрачено</t>
  </si>
  <si>
    <t>$F$13</t>
  </si>
  <si>
    <t>Друкарська машина, год Витрачено</t>
  </si>
  <si>
    <t>$F$14</t>
  </si>
  <si>
    <t>Різка й фальцювання, год Витрачено</t>
  </si>
  <si>
    <t>$B$6:$E$6</t>
  </si>
  <si>
    <t>$F$10:$F$14 &lt;= $H$10:$H$14</t>
  </si>
  <si>
    <t>Отчет создан: 28.09.2026 13:33:41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</si>
</sst>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name val="Calibri"/>
    </font>
    <font>
      <sz val="11"/>
      <name val="Consolas"/>
    </font>
    <font>
      <b/>
      <sz val="11"/>
      <color rgb="FFC00000"/>
      <name val="Calibri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0" xfId="0" applyFont="1"/>
    <xf numFmtId="164" fontId="2" fillId="3" borderId="1" xfId="0" applyNumberFormat="1" applyFont="1" applyFill="1" applyBorder="1"/>
    <xf numFmtId="2" fontId="2" fillId="4" borderId="1" xfId="0" applyNumberFormat="1" applyFont="1" applyFill="1" applyBorder="1"/>
    <xf numFmtId="2" fontId="0" fillId="0" borderId="1" xfId="0" applyNumberFormat="1" applyBorder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ill="1" applyBorder="1" applyAlignment="1"/>
    <xf numFmtId="0" fontId="0" fillId="0" borderId="4" xfId="0" applyFill="1" applyBorder="1" applyAlignment="1"/>
    <xf numFmtId="0" fontId="0" fillId="0" borderId="5" xfId="0" applyFill="1" applyBorder="1" applyAlignment="1"/>
    <xf numFmtId="0" fontId="6" fillId="0" borderId="2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0BE5-8F46-F847-9F95-BF0CD61346F5}">
  <dimension ref="A1:H25"/>
  <sheetViews>
    <sheetView showGridLines="0" tabSelected="1" workbookViewId="0">
      <selection activeCell="K22" sqref="K22"/>
    </sheetView>
  </sheetViews>
  <sheetFormatPr baseColWidth="10" defaultRowHeight="15" outlineLevelRow="1" x14ac:dyDescent="0.2"/>
  <cols>
    <col min="1" max="1" width="2.33203125" customWidth="1"/>
    <col min="2" max="2" width="6.83203125" bestFit="1" customWidth="1"/>
    <col min="3" max="3" width="30.1640625" bestFit="1" customWidth="1"/>
    <col min="4" max="4" width="13.5" bestFit="1" customWidth="1"/>
    <col min="5" max="5" width="12.6640625" bestFit="1" customWidth="1"/>
    <col min="6" max="6" width="15.33203125" bestFit="1" customWidth="1"/>
    <col min="7" max="8" width="12.1640625" bestFit="1" customWidth="1"/>
  </cols>
  <sheetData>
    <row r="1" spans="1:8" x14ac:dyDescent="0.2">
      <c r="A1" s="11" t="s">
        <v>31</v>
      </c>
    </row>
    <row r="2" spans="1:8" x14ac:dyDescent="0.2">
      <c r="A2" s="11" t="s">
        <v>32</v>
      </c>
    </row>
    <row r="3" spans="1:8" x14ac:dyDescent="0.2">
      <c r="A3" s="11" t="s">
        <v>71</v>
      </c>
    </row>
    <row r="6" spans="1:8" ht="16" thickBot="1" x14ac:dyDescent="0.25">
      <c r="A6" t="s">
        <v>34</v>
      </c>
    </row>
    <row r="7" spans="1:8" x14ac:dyDescent="0.2">
      <c r="B7" s="15"/>
      <c r="C7" s="15"/>
      <c r="D7" s="15" t="s">
        <v>37</v>
      </c>
      <c r="E7" s="15" t="s">
        <v>39</v>
      </c>
      <c r="F7" s="15" t="s">
        <v>41</v>
      </c>
      <c r="G7" s="15" t="s">
        <v>43</v>
      </c>
      <c r="H7" s="15" t="s">
        <v>43</v>
      </c>
    </row>
    <row r="8" spans="1:8" ht="16" thickBot="1" x14ac:dyDescent="0.25">
      <c r="B8" s="16" t="s">
        <v>35</v>
      </c>
      <c r="C8" s="16" t="s">
        <v>36</v>
      </c>
      <c r="D8" s="16" t="s">
        <v>38</v>
      </c>
      <c r="E8" s="16" t="s">
        <v>40</v>
      </c>
      <c r="F8" s="16" t="s">
        <v>42</v>
      </c>
      <c r="G8" s="16" t="s">
        <v>44</v>
      </c>
      <c r="H8" s="16" t="s">
        <v>45</v>
      </c>
    </row>
    <row r="9" spans="1:8" x14ac:dyDescent="0.2">
      <c r="B9" s="18" t="s">
        <v>69</v>
      </c>
      <c r="C9" s="17"/>
      <c r="D9" s="17"/>
      <c r="E9" s="17"/>
      <c r="F9" s="17"/>
      <c r="G9" s="17"/>
      <c r="H9" s="17"/>
    </row>
    <row r="10" spans="1:8" outlineLevel="1" x14ac:dyDescent="0.2">
      <c r="B10" s="13" t="s">
        <v>51</v>
      </c>
      <c r="C10" s="13" t="s">
        <v>52</v>
      </c>
      <c r="D10" s="13">
        <v>114.66666666666663</v>
      </c>
      <c r="E10" s="13">
        <v>0</v>
      </c>
      <c r="F10" s="13">
        <v>41</v>
      </c>
      <c r="G10" s="13">
        <v>59.000000000000007</v>
      </c>
      <c r="H10" s="13">
        <v>15.999999999999996</v>
      </c>
    </row>
    <row r="11" spans="1:8" outlineLevel="1" x14ac:dyDescent="0.2">
      <c r="B11" s="13" t="s">
        <v>53</v>
      </c>
      <c r="C11" s="13" t="s">
        <v>54</v>
      </c>
      <c r="D11" s="13">
        <v>152.66666666666669</v>
      </c>
      <c r="E11" s="13">
        <v>0</v>
      </c>
      <c r="F11" s="13">
        <v>50</v>
      </c>
      <c r="G11" s="13">
        <v>32</v>
      </c>
      <c r="H11" s="13">
        <v>19.75</v>
      </c>
    </row>
    <row r="12" spans="1:8" outlineLevel="1" x14ac:dyDescent="0.2">
      <c r="B12" s="13" t="s">
        <v>55</v>
      </c>
      <c r="C12" s="13" t="s">
        <v>56</v>
      </c>
      <c r="D12" s="13">
        <v>0</v>
      </c>
      <c r="E12" s="13">
        <v>-26.333333333333332</v>
      </c>
      <c r="F12" s="13">
        <v>54</v>
      </c>
      <c r="G12" s="13">
        <v>26.333333333333332</v>
      </c>
      <c r="H12" s="13">
        <v>1E+30</v>
      </c>
    </row>
    <row r="13" spans="1:8" ht="16" outlineLevel="1" thickBot="1" x14ac:dyDescent="0.25">
      <c r="B13" s="14" t="s">
        <v>57</v>
      </c>
      <c r="C13" s="14" t="s">
        <v>58</v>
      </c>
      <c r="D13" s="14">
        <v>0</v>
      </c>
      <c r="E13" s="14">
        <v>-76.5</v>
      </c>
      <c r="F13" s="14">
        <v>26</v>
      </c>
      <c r="G13" s="14">
        <v>76.5</v>
      </c>
      <c r="H13" s="14">
        <v>1E+30</v>
      </c>
    </row>
    <row r="14" spans="1:8" x14ac:dyDescent="0.2">
      <c r="B14" s="12"/>
      <c r="C14" s="12"/>
      <c r="D14" s="12"/>
      <c r="E14" s="12"/>
      <c r="F14" s="12"/>
      <c r="G14" s="12"/>
      <c r="H14" s="12"/>
    </row>
    <row r="16" spans="1:8" ht="16" thickBot="1" x14ac:dyDescent="0.25">
      <c r="A16" t="s">
        <v>46</v>
      </c>
    </row>
    <row r="17" spans="2:8" x14ac:dyDescent="0.2">
      <c r="B17" s="15"/>
      <c r="C17" s="15"/>
      <c r="D17" s="15" t="s">
        <v>37</v>
      </c>
      <c r="E17" s="15" t="s">
        <v>47</v>
      </c>
      <c r="F17" s="15" t="s">
        <v>49</v>
      </c>
      <c r="G17" s="15" t="s">
        <v>43</v>
      </c>
      <c r="H17" s="15" t="s">
        <v>43</v>
      </c>
    </row>
    <row r="18" spans="2:8" ht="16" thickBot="1" x14ac:dyDescent="0.25">
      <c r="B18" s="16" t="s">
        <v>35</v>
      </c>
      <c r="C18" s="16" t="s">
        <v>36</v>
      </c>
      <c r="D18" s="16" t="s">
        <v>38</v>
      </c>
      <c r="E18" s="16" t="s">
        <v>48</v>
      </c>
      <c r="F18" s="16" t="s">
        <v>50</v>
      </c>
      <c r="G18" s="16" t="s">
        <v>44</v>
      </c>
      <c r="H18" s="16" t="s">
        <v>45</v>
      </c>
    </row>
    <row r="19" spans="2:8" x14ac:dyDescent="0.2">
      <c r="B19" s="18" t="s">
        <v>70</v>
      </c>
      <c r="C19" s="17"/>
      <c r="D19" s="17"/>
      <c r="E19" s="17"/>
      <c r="F19" s="17"/>
      <c r="G19" s="17"/>
      <c r="H19" s="17"/>
    </row>
    <row r="20" spans="2:8" outlineLevel="1" x14ac:dyDescent="0.2">
      <c r="B20" s="13" t="s">
        <v>59</v>
      </c>
      <c r="C20" s="13" t="s">
        <v>60</v>
      </c>
      <c r="D20" s="13">
        <v>573.33333333333314</v>
      </c>
      <c r="E20" s="13">
        <v>0</v>
      </c>
      <c r="F20" s="13">
        <v>815</v>
      </c>
      <c r="G20" s="13">
        <v>1E+30</v>
      </c>
      <c r="H20" s="13">
        <v>241.6666666666668</v>
      </c>
    </row>
    <row r="21" spans="2:8" outlineLevel="1" x14ac:dyDescent="0.2">
      <c r="B21" s="13" t="s">
        <v>61</v>
      </c>
      <c r="C21" s="13" t="s">
        <v>62</v>
      </c>
      <c r="D21" s="13">
        <v>114.66666666666663</v>
      </c>
      <c r="E21" s="13">
        <v>0</v>
      </c>
      <c r="F21" s="13">
        <v>344</v>
      </c>
      <c r="G21" s="13">
        <v>1E+30</v>
      </c>
      <c r="H21" s="13">
        <v>229.33333333333331</v>
      </c>
    </row>
    <row r="22" spans="2:8" outlineLevel="1" x14ac:dyDescent="0.2">
      <c r="B22" s="13" t="s">
        <v>63</v>
      </c>
      <c r="C22" s="13" t="s">
        <v>64</v>
      </c>
      <c r="D22" s="13">
        <v>840</v>
      </c>
      <c r="E22" s="13">
        <v>9.8333333333333339</v>
      </c>
      <c r="F22" s="13">
        <v>840</v>
      </c>
      <c r="G22" s="13">
        <v>687.99999999999977</v>
      </c>
      <c r="H22" s="13">
        <v>290.00000000000017</v>
      </c>
    </row>
    <row r="23" spans="2:8" outlineLevel="1" x14ac:dyDescent="0.2">
      <c r="B23" s="13" t="s">
        <v>65</v>
      </c>
      <c r="C23" s="13" t="s">
        <v>66</v>
      </c>
      <c r="D23" s="13">
        <v>343.99999999999989</v>
      </c>
      <c r="E23" s="13">
        <v>0</v>
      </c>
      <c r="F23" s="13">
        <v>840</v>
      </c>
      <c r="G23" s="13">
        <v>1E+30</v>
      </c>
      <c r="H23" s="13">
        <v>496</v>
      </c>
    </row>
    <row r="24" spans="2:8" ht="16" outlineLevel="1" thickBot="1" x14ac:dyDescent="0.25">
      <c r="B24" s="14" t="s">
        <v>67</v>
      </c>
      <c r="C24" s="14" t="s">
        <v>68</v>
      </c>
      <c r="D24" s="14">
        <v>381.99999999999994</v>
      </c>
      <c r="E24" s="14">
        <v>10.666666666666664</v>
      </c>
      <c r="F24" s="14">
        <v>382</v>
      </c>
      <c r="G24" s="14">
        <v>72.500000000000043</v>
      </c>
      <c r="H24" s="14">
        <v>171.99999999999994</v>
      </c>
    </row>
    <row r="25" spans="2:8" x14ac:dyDescent="0.2">
      <c r="B25" s="12"/>
      <c r="C25" s="12"/>
      <c r="D25" s="12"/>
      <c r="E25" s="12"/>
      <c r="F25" s="12"/>
      <c r="G25" s="12"/>
      <c r="H25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30" customWidth="1"/>
    <col min="2" max="6" width="12" customWidth="1"/>
    <col min="7" max="7" width="5" customWidth="1"/>
    <col min="8" max="9" width="12" customWidth="1"/>
  </cols>
  <sheetData>
    <row r="1" spans="1:9" ht="17" x14ac:dyDescent="0.2">
      <c r="A1" s="1" t="s">
        <v>0</v>
      </c>
    </row>
    <row r="2" spans="1:9" x14ac:dyDescent="0.2">
      <c r="A2" t="s">
        <v>1</v>
      </c>
    </row>
    <row r="4" spans="1:9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9" x14ac:dyDescent="0.2">
      <c r="A5" t="s">
        <v>8</v>
      </c>
      <c r="B5" s="3">
        <v>41</v>
      </c>
      <c r="C5" s="3">
        <v>50</v>
      </c>
      <c r="D5" s="3">
        <v>54</v>
      </c>
      <c r="E5" s="3">
        <v>26</v>
      </c>
    </row>
    <row r="6" spans="1:9" x14ac:dyDescent="0.2">
      <c r="A6" s="4" t="s">
        <v>9</v>
      </c>
      <c r="B6" s="5">
        <v>114.66666666666663</v>
      </c>
      <c r="C6" s="5">
        <v>152.66666666666669</v>
      </c>
      <c r="D6" s="5">
        <v>0</v>
      </c>
      <c r="E6" s="5">
        <v>0</v>
      </c>
    </row>
    <row r="7" spans="1:9" x14ac:dyDescent="0.2">
      <c r="A7" s="4" t="s">
        <v>10</v>
      </c>
      <c r="F7" s="6">
        <f>SUMPRODUCT(B5:E5,B6:E6)</f>
        <v>12334.666666666666</v>
      </c>
    </row>
    <row r="9" spans="1:9" x14ac:dyDescent="0.2">
      <c r="A9" s="2" t="s">
        <v>11</v>
      </c>
      <c r="B9" s="2" t="s">
        <v>3</v>
      </c>
      <c r="C9" s="2" t="s">
        <v>4</v>
      </c>
      <c r="D9" s="2" t="s">
        <v>5</v>
      </c>
      <c r="E9" s="2" t="s">
        <v>6</v>
      </c>
      <c r="F9" s="2" t="s">
        <v>12</v>
      </c>
      <c r="H9" s="2" t="s">
        <v>13</v>
      </c>
      <c r="I9" s="2" t="s">
        <v>14</v>
      </c>
    </row>
    <row r="10" spans="1:9" x14ac:dyDescent="0.2">
      <c r="A10" s="3" t="s">
        <v>15</v>
      </c>
      <c r="B10" s="3">
        <v>5</v>
      </c>
      <c r="C10" s="3">
        <v>0</v>
      </c>
      <c r="D10" s="3">
        <v>0</v>
      </c>
      <c r="E10" s="3">
        <v>0</v>
      </c>
      <c r="F10" s="7">
        <f>SUMPRODUCT(B10:E10,$B$6:$E$6)</f>
        <v>573.33333333333314</v>
      </c>
      <c r="G10" s="8" t="s">
        <v>16</v>
      </c>
      <c r="H10" s="3">
        <v>815</v>
      </c>
      <c r="I10" s="7">
        <f>H10-F10</f>
        <v>241.66666666666686</v>
      </c>
    </row>
    <row r="11" spans="1:9" x14ac:dyDescent="0.2">
      <c r="A11" s="3" t="s">
        <v>17</v>
      </c>
      <c r="B11" s="3">
        <v>1</v>
      </c>
      <c r="C11" s="3">
        <v>0</v>
      </c>
      <c r="D11" s="3">
        <v>5</v>
      </c>
      <c r="E11" s="3">
        <v>2</v>
      </c>
      <c r="F11" s="7">
        <f>SUMPRODUCT(B11:E11,$B$6:$E$6)</f>
        <v>114.66666666666663</v>
      </c>
      <c r="G11" s="8" t="s">
        <v>16</v>
      </c>
      <c r="H11" s="3">
        <v>344</v>
      </c>
      <c r="I11" s="7">
        <f>H11-F11</f>
        <v>229.33333333333337</v>
      </c>
    </row>
    <row r="12" spans="1:9" x14ac:dyDescent="0.2">
      <c r="A12" s="3" t="s">
        <v>18</v>
      </c>
      <c r="B12" s="3">
        <v>2</v>
      </c>
      <c r="C12" s="3">
        <v>4</v>
      </c>
      <c r="D12" s="3">
        <v>6</v>
      </c>
      <c r="E12" s="3">
        <v>5</v>
      </c>
      <c r="F12" s="7">
        <f>SUMPRODUCT(B12:E12,$B$6:$E$6)</f>
        <v>840</v>
      </c>
      <c r="G12" s="8" t="s">
        <v>16</v>
      </c>
      <c r="H12" s="3">
        <v>840</v>
      </c>
      <c r="I12" s="7">
        <f>H12-F12</f>
        <v>0</v>
      </c>
    </row>
    <row r="13" spans="1:9" x14ac:dyDescent="0.2">
      <c r="A13" s="3" t="s">
        <v>19</v>
      </c>
      <c r="B13" s="3">
        <v>3</v>
      </c>
      <c r="C13" s="3">
        <v>0</v>
      </c>
      <c r="D13" s="3">
        <v>5</v>
      </c>
      <c r="E13" s="3">
        <v>3</v>
      </c>
      <c r="F13" s="7">
        <f>SUMPRODUCT(B13:E13,$B$6:$E$6)</f>
        <v>343.99999999999989</v>
      </c>
      <c r="G13" s="8" t="s">
        <v>16</v>
      </c>
      <c r="H13" s="3">
        <v>840</v>
      </c>
      <c r="I13" s="7">
        <f>H13-F13</f>
        <v>496.00000000000011</v>
      </c>
    </row>
    <row r="14" spans="1:9" x14ac:dyDescent="0.2">
      <c r="A14" s="3" t="s">
        <v>20</v>
      </c>
      <c r="B14" s="3">
        <v>2</v>
      </c>
      <c r="C14" s="3">
        <v>1</v>
      </c>
      <c r="D14" s="3">
        <v>2</v>
      </c>
      <c r="E14" s="3">
        <v>5</v>
      </c>
      <c r="F14" s="7">
        <f>SUMPRODUCT(B14:E14,$B$6:$E$6)</f>
        <v>381.99999999999994</v>
      </c>
      <c r="G14" s="8" t="s">
        <v>16</v>
      </c>
      <c r="H14" s="3">
        <v>382</v>
      </c>
      <c r="I14" s="7">
        <f>H14-F14</f>
        <v>0</v>
      </c>
    </row>
    <row r="17" spans="1:2" x14ac:dyDescent="0.2">
      <c r="A17" s="4" t="s">
        <v>21</v>
      </c>
    </row>
    <row r="18" spans="1:2" x14ac:dyDescent="0.2">
      <c r="A18" t="s">
        <v>11</v>
      </c>
      <c r="B18" t="s">
        <v>20</v>
      </c>
    </row>
    <row r="19" spans="1:2" x14ac:dyDescent="0.2">
      <c r="A19" t="s">
        <v>22</v>
      </c>
      <c r="B19">
        <v>8.3000000000000007</v>
      </c>
    </row>
    <row r="20" spans="1:2" x14ac:dyDescent="0.2">
      <c r="A20" t="s">
        <v>23</v>
      </c>
      <c r="B20">
        <v>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1C07-9CEA-F34C-9F0D-0F26AD423A4C}">
  <dimension ref="A1:H25"/>
  <sheetViews>
    <sheetView showGridLines="0" workbookViewId="0">
      <selection activeCell="D15" sqref="D15"/>
    </sheetView>
  </sheetViews>
  <sheetFormatPr baseColWidth="10" defaultRowHeight="15" outlineLevelRow="1" x14ac:dyDescent="0.2"/>
  <cols>
    <col min="1" max="1" width="2.33203125" customWidth="1"/>
    <col min="2" max="2" width="6.83203125" bestFit="1" customWidth="1"/>
    <col min="3" max="3" width="30.1640625" bestFit="1" customWidth="1"/>
    <col min="4" max="4" width="13.5" bestFit="1" customWidth="1"/>
    <col min="5" max="5" width="12.6640625" bestFit="1" customWidth="1"/>
    <col min="6" max="6" width="15.33203125" bestFit="1" customWidth="1"/>
    <col min="7" max="8" width="12.1640625" bestFit="1" customWidth="1"/>
  </cols>
  <sheetData>
    <row r="1" spans="1:8" x14ac:dyDescent="0.2">
      <c r="A1" s="11" t="s">
        <v>31</v>
      </c>
    </row>
    <row r="2" spans="1:8" x14ac:dyDescent="0.2">
      <c r="A2" s="11" t="s">
        <v>32</v>
      </c>
    </row>
    <row r="3" spans="1:8" x14ac:dyDescent="0.2">
      <c r="A3" s="11" t="s">
        <v>33</v>
      </c>
    </row>
    <row r="6" spans="1:8" ht="16" thickBot="1" x14ac:dyDescent="0.25">
      <c r="A6" t="s">
        <v>34</v>
      </c>
    </row>
    <row r="7" spans="1:8" x14ac:dyDescent="0.2">
      <c r="B7" s="15"/>
      <c r="C7" s="15"/>
      <c r="D7" s="15" t="s">
        <v>37</v>
      </c>
      <c r="E7" s="15" t="s">
        <v>39</v>
      </c>
      <c r="F7" s="15" t="s">
        <v>41</v>
      </c>
      <c r="G7" s="15" t="s">
        <v>43</v>
      </c>
      <c r="H7" s="15" t="s">
        <v>43</v>
      </c>
    </row>
    <row r="8" spans="1:8" ht="16" thickBot="1" x14ac:dyDescent="0.25">
      <c r="B8" s="16" t="s">
        <v>35</v>
      </c>
      <c r="C8" s="16" t="s">
        <v>36</v>
      </c>
      <c r="D8" s="16" t="s">
        <v>38</v>
      </c>
      <c r="E8" s="16" t="s">
        <v>40</v>
      </c>
      <c r="F8" s="16" t="s">
        <v>42</v>
      </c>
      <c r="G8" s="16" t="s">
        <v>44</v>
      </c>
      <c r="H8" s="16" t="s">
        <v>45</v>
      </c>
    </row>
    <row r="9" spans="1:8" x14ac:dyDescent="0.2">
      <c r="B9" s="18" t="s">
        <v>69</v>
      </c>
      <c r="C9" s="17"/>
      <c r="D9" s="17"/>
      <c r="E9" s="17"/>
      <c r="F9" s="17"/>
      <c r="G9" s="17"/>
      <c r="H9" s="17"/>
    </row>
    <row r="10" spans="1:8" hidden="1" outlineLevel="1" x14ac:dyDescent="0.2">
      <c r="B10" s="13" t="s">
        <v>51</v>
      </c>
      <c r="C10" s="13" t="s">
        <v>52</v>
      </c>
      <c r="D10" s="13">
        <v>114.66666666666663</v>
      </c>
      <c r="E10" s="13">
        <v>0</v>
      </c>
      <c r="F10" s="13">
        <v>41</v>
      </c>
      <c r="G10" s="13">
        <v>59.000000000000007</v>
      </c>
      <c r="H10" s="13">
        <v>15.999999999999996</v>
      </c>
    </row>
    <row r="11" spans="1:8" hidden="1" outlineLevel="1" x14ac:dyDescent="0.2">
      <c r="B11" s="13" t="s">
        <v>53</v>
      </c>
      <c r="C11" s="13" t="s">
        <v>54</v>
      </c>
      <c r="D11" s="13">
        <v>152.66666666666669</v>
      </c>
      <c r="E11" s="13">
        <v>0</v>
      </c>
      <c r="F11" s="13">
        <v>50</v>
      </c>
      <c r="G11" s="13">
        <v>32</v>
      </c>
      <c r="H11" s="13">
        <v>19.75</v>
      </c>
    </row>
    <row r="12" spans="1:8" hidden="1" outlineLevel="1" x14ac:dyDescent="0.2">
      <c r="B12" s="13" t="s">
        <v>55</v>
      </c>
      <c r="C12" s="13" t="s">
        <v>56</v>
      </c>
      <c r="D12" s="13">
        <v>0</v>
      </c>
      <c r="E12" s="13">
        <v>-26.333333333333332</v>
      </c>
      <c r="F12" s="13">
        <v>54</v>
      </c>
      <c r="G12" s="13">
        <v>26.333333333333332</v>
      </c>
      <c r="H12" s="13">
        <v>1E+30</v>
      </c>
    </row>
    <row r="13" spans="1:8" ht="16" hidden="1" outlineLevel="1" thickBot="1" x14ac:dyDescent="0.25">
      <c r="B13" s="14" t="s">
        <v>57</v>
      </c>
      <c r="C13" s="14" t="s">
        <v>58</v>
      </c>
      <c r="D13" s="14">
        <v>0</v>
      </c>
      <c r="E13" s="14">
        <v>-76.5</v>
      </c>
      <c r="F13" s="14">
        <v>26</v>
      </c>
      <c r="G13" s="14">
        <v>76.5</v>
      </c>
      <c r="H13" s="14">
        <v>1E+30</v>
      </c>
    </row>
    <row r="14" spans="1:8" collapsed="1" x14ac:dyDescent="0.2">
      <c r="B14" s="12"/>
      <c r="C14" s="12"/>
      <c r="D14" s="12"/>
      <c r="E14" s="12"/>
      <c r="F14" s="12"/>
      <c r="G14" s="12"/>
      <c r="H14" s="12"/>
    </row>
    <row r="16" spans="1:8" ht="16" thickBot="1" x14ac:dyDescent="0.25">
      <c r="A16" t="s">
        <v>46</v>
      </c>
    </row>
    <row r="17" spans="2:8" x14ac:dyDescent="0.2">
      <c r="B17" s="15"/>
      <c r="C17" s="15"/>
      <c r="D17" s="15" t="s">
        <v>37</v>
      </c>
      <c r="E17" s="15" t="s">
        <v>47</v>
      </c>
      <c r="F17" s="15" t="s">
        <v>49</v>
      </c>
      <c r="G17" s="15" t="s">
        <v>43</v>
      </c>
      <c r="H17" s="15" t="s">
        <v>43</v>
      </c>
    </row>
    <row r="18" spans="2:8" ht="16" thickBot="1" x14ac:dyDescent="0.25">
      <c r="B18" s="16" t="s">
        <v>35</v>
      </c>
      <c r="C18" s="16" t="s">
        <v>36</v>
      </c>
      <c r="D18" s="16" t="s">
        <v>38</v>
      </c>
      <c r="E18" s="16" t="s">
        <v>48</v>
      </c>
      <c r="F18" s="16" t="s">
        <v>50</v>
      </c>
      <c r="G18" s="16" t="s">
        <v>44</v>
      </c>
      <c r="H18" s="16" t="s">
        <v>45</v>
      </c>
    </row>
    <row r="19" spans="2:8" x14ac:dyDescent="0.2">
      <c r="B19" s="18" t="s">
        <v>70</v>
      </c>
      <c r="C19" s="17"/>
      <c r="D19" s="17"/>
      <c r="E19" s="17"/>
      <c r="F19" s="17"/>
      <c r="G19" s="17"/>
      <c r="H19" s="17"/>
    </row>
    <row r="20" spans="2:8" hidden="1" outlineLevel="1" x14ac:dyDescent="0.2">
      <c r="B20" s="13" t="s">
        <v>59</v>
      </c>
      <c r="C20" s="13" t="s">
        <v>60</v>
      </c>
      <c r="D20" s="13">
        <v>573.33333333333314</v>
      </c>
      <c r="E20" s="13">
        <v>0</v>
      </c>
      <c r="F20" s="13">
        <v>815</v>
      </c>
      <c r="G20" s="13">
        <v>1E+30</v>
      </c>
      <c r="H20" s="13">
        <v>241.6666666666668</v>
      </c>
    </row>
    <row r="21" spans="2:8" hidden="1" outlineLevel="1" x14ac:dyDescent="0.2">
      <c r="B21" s="13" t="s">
        <v>61</v>
      </c>
      <c r="C21" s="13" t="s">
        <v>62</v>
      </c>
      <c r="D21" s="13">
        <v>114.66666666666663</v>
      </c>
      <c r="E21" s="13">
        <v>0</v>
      </c>
      <c r="F21" s="13">
        <v>344</v>
      </c>
      <c r="G21" s="13">
        <v>1E+30</v>
      </c>
      <c r="H21" s="13">
        <v>229.33333333333331</v>
      </c>
    </row>
    <row r="22" spans="2:8" hidden="1" outlineLevel="1" x14ac:dyDescent="0.2">
      <c r="B22" s="13" t="s">
        <v>63</v>
      </c>
      <c r="C22" s="13" t="s">
        <v>64</v>
      </c>
      <c r="D22" s="13">
        <v>840</v>
      </c>
      <c r="E22" s="13">
        <v>9.8333333333333339</v>
      </c>
      <c r="F22" s="13">
        <v>840</v>
      </c>
      <c r="G22" s="13">
        <v>687.99999999999977</v>
      </c>
      <c r="H22" s="13">
        <v>290.00000000000017</v>
      </c>
    </row>
    <row r="23" spans="2:8" hidden="1" outlineLevel="1" x14ac:dyDescent="0.2">
      <c r="B23" s="13" t="s">
        <v>65</v>
      </c>
      <c r="C23" s="13" t="s">
        <v>66</v>
      </c>
      <c r="D23" s="13">
        <v>343.99999999999989</v>
      </c>
      <c r="E23" s="13">
        <v>0</v>
      </c>
      <c r="F23" s="13">
        <v>840</v>
      </c>
      <c r="G23" s="13">
        <v>1E+30</v>
      </c>
      <c r="H23" s="13">
        <v>496</v>
      </c>
    </row>
    <row r="24" spans="2:8" ht="16" hidden="1" outlineLevel="1" thickBot="1" x14ac:dyDescent="0.25">
      <c r="B24" s="14" t="s">
        <v>67</v>
      </c>
      <c r="C24" s="14" t="s">
        <v>68</v>
      </c>
      <c r="D24" s="14">
        <v>381.99999999999994</v>
      </c>
      <c r="E24" s="14">
        <v>10.666666666666664</v>
      </c>
      <c r="F24" s="14">
        <v>382</v>
      </c>
      <c r="G24" s="14">
        <v>72.500000000000043</v>
      </c>
      <c r="H24" s="14">
        <v>171.99999999999994</v>
      </c>
    </row>
    <row r="25" spans="2:8" collapsed="1" x14ac:dyDescent="0.2">
      <c r="B25" s="12"/>
      <c r="C25" s="12"/>
      <c r="D25" s="12"/>
      <c r="E25" s="12"/>
      <c r="F25" s="12"/>
      <c r="G25" s="12"/>
      <c r="H25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10" sqref="A10"/>
    </sheetView>
  </sheetViews>
  <sheetFormatPr baseColWidth="10" defaultColWidth="8.83203125" defaultRowHeight="15" x14ac:dyDescent="0.2"/>
  <cols>
    <col min="1" max="1" width="100" customWidth="1"/>
  </cols>
  <sheetData>
    <row r="1" spans="1:1" ht="17" x14ac:dyDescent="0.2">
      <c r="A1" s="1" t="s">
        <v>24</v>
      </c>
    </row>
    <row r="3" spans="1:1" x14ac:dyDescent="0.2">
      <c r="A3" s="9" t="s">
        <v>25</v>
      </c>
    </row>
    <row r="4" spans="1:1" x14ac:dyDescent="0.2">
      <c r="A4" s="9" t="s">
        <v>26</v>
      </c>
    </row>
    <row r="5" spans="1:1" x14ac:dyDescent="0.2">
      <c r="A5" s="9" t="s">
        <v>27</v>
      </c>
    </row>
    <row r="6" spans="1:1" x14ac:dyDescent="0.2">
      <c r="A6" s="9" t="s">
        <v>28</v>
      </c>
    </row>
    <row r="7" spans="1:1" x14ac:dyDescent="0.2">
      <c r="A7" s="9" t="s">
        <v>29</v>
      </c>
    </row>
    <row r="8" spans="1:1" x14ac:dyDescent="0.2">
      <c r="A8" s="9" t="s">
        <v>30</v>
      </c>
    </row>
    <row r="10" spans="1:1" x14ac:dyDescent="0.2">
      <c r="A10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Отчет об устойчивости 2</vt:lpstr>
      <vt:lpstr>Модель</vt:lpstr>
      <vt:lpstr>Отчет об устойчивости 1</vt:lpstr>
      <vt:lpstr>Налаштування Solver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Денис Левченко</cp:lastModifiedBy>
  <dcterms:created xsi:type="dcterms:W3CDTF">2026-09-28T09:11:06Z</dcterms:created>
  <dcterms:modified xsi:type="dcterms:W3CDTF">2026-09-28T10:35:15Z</dcterms:modified>
</cp:coreProperties>
</file>